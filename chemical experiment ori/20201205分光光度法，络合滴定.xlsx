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C:\Users\18434\Desktop\"/>
    </mc:Choice>
  </mc:AlternateContent>
  <xr:revisionPtr revIDLastSave="0" documentId="13_ncr:1_{D43E518D-40B2-44C6-BAC3-450AD465D886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分光光度法最大吸收波长" sheetId="3" r:id="rId1"/>
    <sheet name="分光光度法最合适实验条件选择" sheetId="1" r:id="rId2"/>
    <sheet name="分光光度法标准曲线绘制" sheetId="2" r:id="rId3"/>
    <sheet name="络合滴定实验数据" sheetId="4" r:id="rId4"/>
    <sheet name="氧化还原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9" i="1" l="1"/>
  <c r="C19" i="1"/>
  <c r="D19" i="1"/>
  <c r="C20" i="1"/>
  <c r="D20" i="1"/>
  <c r="E20" i="1"/>
  <c r="C21" i="1"/>
  <c r="D21" i="1"/>
  <c r="E21" i="1"/>
  <c r="B20" i="1"/>
  <c r="B21" i="1"/>
  <c r="B19" i="1"/>
  <c r="D16" i="1"/>
  <c r="D18" i="1"/>
  <c r="D17" i="1"/>
  <c r="E18" i="1"/>
  <c r="E17" i="1"/>
  <c r="E16" i="1"/>
  <c r="C18" i="1"/>
  <c r="C17" i="1"/>
  <c r="C16" i="1"/>
  <c r="B16" i="1"/>
  <c r="B18" i="1"/>
  <c r="B17" i="1"/>
  <c r="C3" i="2"/>
  <c r="C4" i="2"/>
  <c r="C5" i="2"/>
  <c r="C6" i="2"/>
  <c r="C2" i="2"/>
</calcChain>
</file>

<file path=xl/sharedStrings.xml><?xml version="1.0" encoding="utf-8"?>
<sst xmlns="http://schemas.openxmlformats.org/spreadsheetml/2006/main" count="79" uniqueCount="57">
  <si>
    <t>显色剂用量/ml（A）</t>
    <phoneticPr fontId="1" type="noConversion"/>
  </si>
  <si>
    <t>缓冲体系（pH）（B）</t>
    <phoneticPr fontId="1" type="noConversion"/>
  </si>
  <si>
    <t>显色时间/min（C）</t>
    <phoneticPr fontId="1" type="noConversion"/>
  </si>
  <si>
    <t>实验号</t>
    <phoneticPr fontId="1" type="noConversion"/>
  </si>
  <si>
    <t>A</t>
    <phoneticPr fontId="1" type="noConversion"/>
  </si>
  <si>
    <t>B</t>
    <phoneticPr fontId="1" type="noConversion"/>
  </si>
  <si>
    <t>A*B</t>
    <phoneticPr fontId="1" type="noConversion"/>
  </si>
  <si>
    <t>C</t>
    <phoneticPr fontId="1" type="noConversion"/>
  </si>
  <si>
    <t>吸光度A</t>
    <phoneticPr fontId="1" type="noConversion"/>
  </si>
  <si>
    <t>1（1.00）</t>
    <phoneticPr fontId="1" type="noConversion"/>
  </si>
  <si>
    <t>2（2.00）</t>
    <phoneticPr fontId="1" type="noConversion"/>
  </si>
  <si>
    <t>3（3.00）</t>
    <phoneticPr fontId="1" type="noConversion"/>
  </si>
  <si>
    <t>1.00</t>
    <phoneticPr fontId="1" type="noConversion"/>
  </si>
  <si>
    <t>2.00</t>
    <phoneticPr fontId="1" type="noConversion"/>
  </si>
  <si>
    <t>3.00</t>
    <phoneticPr fontId="1" type="noConversion"/>
  </si>
  <si>
    <t>1（5）</t>
    <phoneticPr fontId="1" type="noConversion"/>
  </si>
  <si>
    <t>2（10）</t>
    <phoneticPr fontId="1" type="noConversion"/>
  </si>
  <si>
    <t>3（15）</t>
    <phoneticPr fontId="1" type="noConversion"/>
  </si>
  <si>
    <t>Fe（Ⅲ）ml</t>
    <phoneticPr fontId="1" type="noConversion"/>
  </si>
  <si>
    <t>吸光度</t>
    <phoneticPr fontId="1" type="noConversion"/>
  </si>
  <si>
    <t>换算浓度</t>
    <phoneticPr fontId="1" type="noConversion"/>
  </si>
  <si>
    <t>T1</t>
    <phoneticPr fontId="1" type="noConversion"/>
  </si>
  <si>
    <t>T2</t>
    <phoneticPr fontId="1" type="noConversion"/>
  </si>
  <si>
    <t>T3</t>
    <phoneticPr fontId="1" type="noConversion"/>
  </si>
  <si>
    <t>K1</t>
    <phoneticPr fontId="1" type="noConversion"/>
  </si>
  <si>
    <t>K2</t>
    <phoneticPr fontId="1" type="noConversion"/>
  </si>
  <si>
    <t>K3</t>
    <phoneticPr fontId="1" type="noConversion"/>
  </si>
  <si>
    <t>所以最佳的实验水平是A1B1C2</t>
    <phoneticPr fontId="1" type="noConversion"/>
  </si>
  <si>
    <t>440nm</t>
    <phoneticPr fontId="1" type="noConversion"/>
  </si>
  <si>
    <t>460nm</t>
    <phoneticPr fontId="1" type="noConversion"/>
  </si>
  <si>
    <t>480nm</t>
  </si>
  <si>
    <t>500nm</t>
  </si>
  <si>
    <t>波长</t>
    <phoneticPr fontId="1" type="noConversion"/>
  </si>
  <si>
    <t>实验次数</t>
    <phoneticPr fontId="1" type="noConversion"/>
  </si>
  <si>
    <t>490nm</t>
    <phoneticPr fontId="1" type="noConversion"/>
  </si>
  <si>
    <t>510nm</t>
    <phoneticPr fontId="1" type="noConversion"/>
  </si>
  <si>
    <t>504nm</t>
    <phoneticPr fontId="1" type="noConversion"/>
  </si>
  <si>
    <t>506nm</t>
    <phoneticPr fontId="1" type="noConversion"/>
  </si>
  <si>
    <t>508nm</t>
    <phoneticPr fontId="1" type="noConversion"/>
  </si>
  <si>
    <t>520nm</t>
    <phoneticPr fontId="1" type="noConversion"/>
  </si>
  <si>
    <t>540nm</t>
    <phoneticPr fontId="1" type="noConversion"/>
  </si>
  <si>
    <t>分光光度计为分度值为2nm，所以506nm为最大吸收波长</t>
    <phoneticPr fontId="1" type="noConversion"/>
  </si>
  <si>
    <t>实验1 EDTA标定</t>
    <phoneticPr fontId="1" type="noConversion"/>
  </si>
  <si>
    <t>m（Zn）=1.0316g</t>
    <phoneticPr fontId="1" type="noConversion"/>
  </si>
  <si>
    <t>V(EDTA)/ml</t>
    <phoneticPr fontId="1" type="noConversion"/>
  </si>
  <si>
    <t>c（EDTA）/(mol/L）</t>
    <phoneticPr fontId="1" type="noConversion"/>
  </si>
  <si>
    <t>c（EDTA）平均/（mol/L）</t>
    <phoneticPr fontId="1" type="noConversion"/>
  </si>
  <si>
    <t>实验2 Fe（Ⅲ）含量的测定</t>
    <phoneticPr fontId="1" type="noConversion"/>
  </si>
  <si>
    <t>V（Fe（Ⅲ））=25.00ml</t>
    <phoneticPr fontId="1" type="noConversion"/>
  </si>
  <si>
    <t>c（Fe（Ⅲ））/（mol/L）</t>
    <phoneticPr fontId="1" type="noConversion"/>
  </si>
  <si>
    <t>d</t>
    <phoneticPr fontId="1" type="noConversion"/>
  </si>
  <si>
    <t>c（Fe）平均</t>
    <phoneticPr fontId="1" type="noConversion"/>
  </si>
  <si>
    <t>……</t>
    <phoneticPr fontId="1" type="noConversion"/>
  </si>
  <si>
    <t>c（Fe（Ⅱ））/（mol/L）</t>
    <phoneticPr fontId="1" type="noConversion"/>
  </si>
  <si>
    <t>c（Fe(Ⅱ））平均/（mol/L）</t>
    <phoneticPr fontId="1" type="noConversion"/>
  </si>
  <si>
    <t>V(K2Cr2O7)/ml</t>
    <phoneticPr fontId="1" type="noConversion"/>
  </si>
  <si>
    <t>V（K2Cr2O7）/ml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</si>
</sst>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000_);[Red]\(0.0000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176" fontId="0" fillId="0" borderId="0" xfId="0" applyNumberFormat="1" applyAlignment="1"/>
    <xf numFmtId="176" fontId="0" fillId="0" borderId="0" xfId="0" applyNumberFormat="1"/>
    <xf numFmtId="177" fontId="0" fillId="0" borderId="0" xfId="0" applyNumberFormat="1"/>
    <xf numFmtId="17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7" fontId="0" fillId="0" borderId="0" xfId="0" applyNumberFormat="1" applyAlignment="1">
      <alignment horizontal="center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分光光度法最大吸收波长!$C$1</c:f>
              <c:strCache>
                <c:ptCount val="1"/>
                <c:pt idx="0">
                  <c:v>吸光度A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分光光度法最大吸收波长!$B$2:$B$12</c:f>
              <c:strCache>
                <c:ptCount val="11"/>
                <c:pt idx="0">
                  <c:v>440nm</c:v>
                </c:pt>
                <c:pt idx="1">
                  <c:v>460nm</c:v>
                </c:pt>
                <c:pt idx="2">
                  <c:v>480nm</c:v>
                </c:pt>
                <c:pt idx="3">
                  <c:v>490nm</c:v>
                </c:pt>
                <c:pt idx="4">
                  <c:v>500nm</c:v>
                </c:pt>
                <c:pt idx="5">
                  <c:v>504nm</c:v>
                </c:pt>
                <c:pt idx="6">
                  <c:v>506nm</c:v>
                </c:pt>
                <c:pt idx="7">
                  <c:v>508nm</c:v>
                </c:pt>
                <c:pt idx="8">
                  <c:v>510nm</c:v>
                </c:pt>
                <c:pt idx="9">
                  <c:v>520nm</c:v>
                </c:pt>
                <c:pt idx="10">
                  <c:v>540nm</c:v>
                </c:pt>
              </c:strCache>
            </c:strRef>
          </c:cat>
          <c:val>
            <c:numRef>
              <c:f>分光光度法最大吸收波长!$C$2:$C$12</c:f>
              <c:numCache>
                <c:formatCode>General</c:formatCode>
                <c:ptCount val="11"/>
                <c:pt idx="0">
                  <c:v>0.29199999999999998</c:v>
                </c:pt>
                <c:pt idx="1">
                  <c:v>0.34799999999999998</c:v>
                </c:pt>
                <c:pt idx="2">
                  <c:v>0.34599999999999997</c:v>
                </c:pt>
                <c:pt idx="3">
                  <c:v>0.39600000000000002</c:v>
                </c:pt>
                <c:pt idx="4">
                  <c:v>0.41099999999999998</c:v>
                </c:pt>
                <c:pt idx="5">
                  <c:v>0.41199999999999998</c:v>
                </c:pt>
                <c:pt idx="6">
                  <c:v>0.41399999999999998</c:v>
                </c:pt>
                <c:pt idx="7">
                  <c:v>0.41399999999999998</c:v>
                </c:pt>
                <c:pt idx="8">
                  <c:v>0.41199999999999998</c:v>
                </c:pt>
                <c:pt idx="9">
                  <c:v>0.38600000000000001</c:v>
                </c:pt>
                <c:pt idx="10">
                  <c:v>0.19500000000000001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5A-499D-8610-9CF20AFA25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1049152"/>
        <c:axId val="1741052480"/>
      </c:lineChart>
      <c:catAx>
        <c:axId val="1741049152"/>
        <c:scaling>
          <c:orientation val="minMax"/>
        </c:scaling>
        <c:delete val="0"/>
        <c:axPos val="b"/>
        <c:numFmt formatCode="#,##0.00_);[Red]\(#,##0.00\)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41052480"/>
        <c:crosses val="autoZero"/>
        <c:auto val="1"/>
        <c:lblAlgn val="ctr"/>
        <c:lblOffset val="100"/>
        <c:noMultiLvlLbl val="0"/>
      </c:catAx>
      <c:valAx>
        <c:axId val="1741052480"/>
        <c:scaling>
          <c:orientation val="minMax"/>
          <c:min val="0.150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41049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分光光度法标准曲线绘制!$D$1</c:f>
              <c:strCache>
                <c:ptCount val="1"/>
                <c:pt idx="0">
                  <c:v>吸光度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分光光度法标准曲线绘制!$C$2:$C$6</c:f>
              <c:numCache>
                <c:formatCode>General</c:formatCode>
                <c:ptCount val="5"/>
                <c:pt idx="0">
                  <c:v>7.1428571428571426E-3</c:v>
                </c:pt>
                <c:pt idx="1">
                  <c:v>2.1428571428571429E-2</c:v>
                </c:pt>
                <c:pt idx="2">
                  <c:v>3.5714285714285719E-2</c:v>
                </c:pt>
                <c:pt idx="3">
                  <c:v>0.05</c:v>
                </c:pt>
                <c:pt idx="4">
                  <c:v>6.4285714285714279E-2</c:v>
                </c:pt>
              </c:numCache>
            </c:numRef>
          </c:xVal>
          <c:yVal>
            <c:numRef>
              <c:f>分光光度法标准曲线绘制!$D$2:$D$6</c:f>
              <c:numCache>
                <c:formatCode>General</c:formatCode>
                <c:ptCount val="5"/>
                <c:pt idx="0">
                  <c:v>9.0999999999999998E-2</c:v>
                </c:pt>
                <c:pt idx="1">
                  <c:v>0.27200000000000002</c:v>
                </c:pt>
                <c:pt idx="2">
                  <c:v>0.436</c:v>
                </c:pt>
                <c:pt idx="3">
                  <c:v>0.61699999999999999</c:v>
                </c:pt>
                <c:pt idx="4">
                  <c:v>0.77800000000000002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6F-422C-8F26-EBDBF53BD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55728"/>
        <c:axId val="637499840"/>
      </c:scatterChart>
      <c:valAx>
        <c:axId val="744755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37499840"/>
        <c:crosses val="autoZero"/>
        <c:crossBetween val="midCat"/>
      </c:valAx>
      <c:valAx>
        <c:axId val="63749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4755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533400</xdr:colOff>
      <xdr:row>7</xdr:row>
      <xdr:rowOff>57150</xdr:rowOff>
    </xdr:from>
    <xdr:to>
      <xdr:col>14</xdr:col>
      <xdr:colOff>228600</xdr:colOff>
      <xdr:row>22</xdr:row>
      <xdr:rowOff>171450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28DA5B4-237D-4D7A-B0EA-E8D0F30472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11430</xdr:rowOff>
    </xdr:from>
    <xdr:to>
      <xdr:col>5</xdr:col>
      <xdr:colOff>198120</xdr:colOff>
      <xdr:row>22</xdr:row>
      <xdr:rowOff>125730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91E7CF8E-541E-478C-BC59-123B29E8A3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64663-72CB-43FD-A886-94C86D1604AB}">
  <dimension ref="A1:E14"/>
  <sheetViews>
    <sheetView tabSelected="1" workbookViewId="0">
      <selection activeCell="M3" sqref="M3"/>
    </sheetView>
  </sheetViews>
  <sheetFormatPr defaultRowHeight="13.8" x14ac:dyDescent="0.25"/>
  <cols>
    <col min="5" max="5" width="17.77734375" customWidth="1"/>
  </cols>
  <sheetData>
    <row r="1" spans="1:5" x14ac:dyDescent="0.25">
      <c r="A1" t="s">
        <v>33</v>
      </c>
      <c r="B1" t="s">
        <v>32</v>
      </c>
      <c r="C1" t="s">
        <v>8</v>
      </c>
    </row>
    <row r="2" spans="1:5" x14ac:dyDescent="0.25">
      <c r="A2">
        <v>1</v>
      </c>
      <c r="B2" t="s">
        <v>28</v>
      </c>
      <c r="C2">
        <v>0.29199999999999998</v>
      </c>
    </row>
    <row r="3" spans="1:5" x14ac:dyDescent="0.25">
      <c r="A3">
        <v>2</v>
      </c>
      <c r="B3" t="s">
        <v>29</v>
      </c>
      <c r="C3">
        <v>0.34799999999999998</v>
      </c>
    </row>
    <row r="4" spans="1:5" x14ac:dyDescent="0.25">
      <c r="A4">
        <v>3</v>
      </c>
      <c r="B4" t="s">
        <v>30</v>
      </c>
      <c r="C4">
        <v>0.34599999999999997</v>
      </c>
    </row>
    <row r="5" spans="1:5" x14ac:dyDescent="0.25">
      <c r="A5">
        <v>4</v>
      </c>
      <c r="B5" t="s">
        <v>34</v>
      </c>
      <c r="C5">
        <v>0.39600000000000002</v>
      </c>
    </row>
    <row r="6" spans="1:5" x14ac:dyDescent="0.25">
      <c r="A6">
        <v>5</v>
      </c>
      <c r="B6" t="s">
        <v>31</v>
      </c>
      <c r="C6">
        <v>0.41099999999999998</v>
      </c>
    </row>
    <row r="7" spans="1:5" x14ac:dyDescent="0.25">
      <c r="A7">
        <v>6</v>
      </c>
      <c r="B7" t="s">
        <v>36</v>
      </c>
      <c r="C7">
        <v>0.41199999999999998</v>
      </c>
    </row>
    <row r="8" spans="1:5" x14ac:dyDescent="0.25">
      <c r="A8">
        <v>7</v>
      </c>
      <c r="B8" t="s">
        <v>37</v>
      </c>
      <c r="C8">
        <v>0.41399999999999998</v>
      </c>
    </row>
    <row r="9" spans="1:5" x14ac:dyDescent="0.25">
      <c r="A9">
        <v>8</v>
      </c>
      <c r="B9" t="s">
        <v>38</v>
      </c>
      <c r="C9">
        <v>0.41399999999999998</v>
      </c>
    </row>
    <row r="10" spans="1:5" x14ac:dyDescent="0.25">
      <c r="A10">
        <v>9</v>
      </c>
      <c r="B10" t="s">
        <v>35</v>
      </c>
      <c r="C10">
        <v>0.41199999999999998</v>
      </c>
    </row>
    <row r="11" spans="1:5" x14ac:dyDescent="0.25">
      <c r="A11">
        <v>10</v>
      </c>
      <c r="B11" t="s">
        <v>39</v>
      </c>
      <c r="C11">
        <v>0.38600000000000001</v>
      </c>
    </row>
    <row r="12" spans="1:5" x14ac:dyDescent="0.25">
      <c r="A12">
        <v>11</v>
      </c>
      <c r="B12" t="s">
        <v>40</v>
      </c>
      <c r="C12">
        <v>0.19500000000000001</v>
      </c>
    </row>
    <row r="14" spans="1:5" x14ac:dyDescent="0.25">
      <c r="A14" s="6" t="s">
        <v>41</v>
      </c>
      <c r="B14" s="6"/>
      <c r="C14" s="6"/>
      <c r="D14" s="6"/>
      <c r="E14" s="6"/>
    </row>
  </sheetData>
  <mergeCells count="1">
    <mergeCell ref="A14:E14"/>
  </mergeCells>
  <phoneticPr fontId="1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zoomScale="80" zoomScaleNormal="80" workbookViewId="0">
      <selection activeCell="C15" sqref="C15"/>
    </sheetView>
  </sheetViews>
  <sheetFormatPr defaultRowHeight="13.8" x14ac:dyDescent="0.25"/>
  <cols>
    <col min="2" max="2" width="18.88671875" customWidth="1"/>
    <col min="3" max="3" width="20.44140625" customWidth="1"/>
    <col min="4" max="4" width="17.5546875" customWidth="1"/>
    <col min="5" max="5" width="17.109375" customWidth="1"/>
    <col min="6" max="6" width="21.77734375" customWidth="1"/>
  </cols>
  <sheetData>
    <row r="1" spans="1:6" x14ac:dyDescent="0.25">
      <c r="B1" t="s">
        <v>0</v>
      </c>
      <c r="C1" t="s">
        <v>1</v>
      </c>
      <c r="D1" t="s">
        <v>2</v>
      </c>
    </row>
    <row r="2" spans="1:6" x14ac:dyDescent="0.25">
      <c r="A2">
        <v>1</v>
      </c>
      <c r="B2" s="1" t="s">
        <v>12</v>
      </c>
      <c r="C2">
        <v>4</v>
      </c>
      <c r="D2">
        <v>5</v>
      </c>
    </row>
    <row r="3" spans="1:6" x14ac:dyDescent="0.25">
      <c r="A3">
        <v>2</v>
      </c>
      <c r="B3" s="1" t="s">
        <v>13</v>
      </c>
      <c r="C3">
        <v>5</v>
      </c>
      <c r="D3">
        <v>10</v>
      </c>
    </row>
    <row r="4" spans="1:6" x14ac:dyDescent="0.25">
      <c r="A4">
        <v>3</v>
      </c>
      <c r="B4" s="1" t="s">
        <v>14</v>
      </c>
      <c r="C4">
        <v>6</v>
      </c>
      <c r="D4">
        <v>15</v>
      </c>
    </row>
    <row r="6" spans="1:6" x14ac:dyDescent="0.25">
      <c r="A6" t="s">
        <v>3</v>
      </c>
      <c r="B6" t="s">
        <v>4</v>
      </c>
      <c r="C6" t="s">
        <v>5</v>
      </c>
      <c r="D6" t="s">
        <v>6</v>
      </c>
      <c r="E6" t="s">
        <v>7</v>
      </c>
      <c r="F6" t="s">
        <v>8</v>
      </c>
    </row>
    <row r="7" spans="1:6" x14ac:dyDescent="0.25">
      <c r="A7">
        <v>1</v>
      </c>
      <c r="B7" t="s">
        <v>9</v>
      </c>
      <c r="C7">
        <v>3.94</v>
      </c>
      <c r="D7">
        <v>1</v>
      </c>
      <c r="E7" t="s">
        <v>15</v>
      </c>
      <c r="F7">
        <v>0.432</v>
      </c>
    </row>
    <row r="8" spans="1:6" x14ac:dyDescent="0.25">
      <c r="A8">
        <v>2</v>
      </c>
      <c r="B8" t="s">
        <v>9</v>
      </c>
      <c r="C8">
        <v>5.13</v>
      </c>
      <c r="D8">
        <v>2</v>
      </c>
      <c r="E8" t="s">
        <v>16</v>
      </c>
      <c r="F8">
        <v>0.436</v>
      </c>
    </row>
    <row r="9" spans="1:6" x14ac:dyDescent="0.25">
      <c r="A9">
        <v>3</v>
      </c>
      <c r="B9" t="s">
        <v>9</v>
      </c>
      <c r="C9">
        <v>5.57</v>
      </c>
      <c r="D9">
        <v>3</v>
      </c>
      <c r="E9" t="s">
        <v>17</v>
      </c>
      <c r="F9">
        <v>0.38800000000000001</v>
      </c>
    </row>
    <row r="10" spans="1:6" x14ac:dyDescent="0.25">
      <c r="A10">
        <v>4</v>
      </c>
      <c r="B10" t="s">
        <v>10</v>
      </c>
      <c r="C10">
        <v>3.96</v>
      </c>
      <c r="D10">
        <v>2</v>
      </c>
      <c r="E10" t="s">
        <v>17</v>
      </c>
      <c r="F10">
        <v>0.41399999999999998</v>
      </c>
    </row>
    <row r="11" spans="1:6" x14ac:dyDescent="0.25">
      <c r="A11">
        <v>5</v>
      </c>
      <c r="B11" t="s">
        <v>10</v>
      </c>
      <c r="C11">
        <v>5.12</v>
      </c>
      <c r="D11">
        <v>3</v>
      </c>
      <c r="E11" t="s">
        <v>15</v>
      </c>
      <c r="F11">
        <v>0.41099999999999998</v>
      </c>
    </row>
    <row r="12" spans="1:6" x14ac:dyDescent="0.25">
      <c r="A12">
        <v>6</v>
      </c>
      <c r="B12" t="s">
        <v>10</v>
      </c>
      <c r="C12">
        <v>5.72</v>
      </c>
      <c r="D12">
        <v>1</v>
      </c>
      <c r="E12" t="s">
        <v>16</v>
      </c>
      <c r="F12">
        <v>0.39600000000000002</v>
      </c>
    </row>
    <row r="13" spans="1:6" x14ac:dyDescent="0.25">
      <c r="A13">
        <v>7</v>
      </c>
      <c r="B13" t="s">
        <v>11</v>
      </c>
      <c r="C13">
        <v>3.95</v>
      </c>
      <c r="D13">
        <v>3</v>
      </c>
      <c r="E13" t="s">
        <v>16</v>
      </c>
      <c r="F13">
        <v>0.42799999999999999</v>
      </c>
    </row>
    <row r="14" spans="1:6" x14ac:dyDescent="0.25">
      <c r="A14">
        <v>8</v>
      </c>
      <c r="B14" t="s">
        <v>11</v>
      </c>
      <c r="C14">
        <v>5.08</v>
      </c>
      <c r="D14">
        <v>2</v>
      </c>
      <c r="E14" t="s">
        <v>17</v>
      </c>
      <c r="F14">
        <v>0.40200000000000002</v>
      </c>
    </row>
    <row r="15" spans="1:6" x14ac:dyDescent="0.25">
      <c r="A15">
        <v>9</v>
      </c>
      <c r="B15" t="s">
        <v>11</v>
      </c>
      <c r="C15">
        <v>5.84</v>
      </c>
      <c r="D15">
        <v>1</v>
      </c>
      <c r="E15" t="s">
        <v>15</v>
      </c>
      <c r="F15">
        <v>0.39900000000000002</v>
      </c>
    </row>
    <row r="16" spans="1:6" x14ac:dyDescent="0.25">
      <c r="A16" t="s">
        <v>21</v>
      </c>
      <c r="B16">
        <f>F7+F8+F9</f>
        <v>1.256</v>
      </c>
      <c r="C16">
        <f>F7+F10+F13</f>
        <v>1.274</v>
      </c>
      <c r="D16">
        <f>F7+F12+F15</f>
        <v>1.2270000000000001</v>
      </c>
      <c r="E16">
        <f>F7+F11+F15</f>
        <v>1.242</v>
      </c>
    </row>
    <row r="17" spans="1:6" x14ac:dyDescent="0.25">
      <c r="A17" t="s">
        <v>22</v>
      </c>
      <c r="B17">
        <f>F10+F11+F12</f>
        <v>1.2210000000000001</v>
      </c>
      <c r="C17">
        <f>F8+F11+F14</f>
        <v>1.2490000000000001</v>
      </c>
      <c r="D17">
        <f>F8+F10+F14</f>
        <v>1.252</v>
      </c>
      <c r="E17">
        <f>F8+F13+F12</f>
        <v>1.26</v>
      </c>
    </row>
    <row r="18" spans="1:6" x14ac:dyDescent="0.25">
      <c r="A18" t="s">
        <v>23</v>
      </c>
      <c r="B18">
        <f>F13+F14+F15</f>
        <v>1.2290000000000001</v>
      </c>
      <c r="C18">
        <f>F9+F12+F15</f>
        <v>1.1830000000000001</v>
      </c>
      <c r="D18">
        <f>F9+F11+F13</f>
        <v>1.2269999999999999</v>
      </c>
      <c r="E18">
        <f>F9+F10+F14</f>
        <v>1.2040000000000002</v>
      </c>
    </row>
    <row r="19" spans="1:6" x14ac:dyDescent="0.25">
      <c r="A19" t="s">
        <v>24</v>
      </c>
      <c r="B19">
        <f>B16/3</f>
        <v>0.41866666666666669</v>
      </c>
      <c r="C19">
        <f t="shared" ref="C19:D19" si="0">C16/3</f>
        <v>0.42466666666666669</v>
      </c>
      <c r="D19">
        <f t="shared" si="0"/>
        <v>0.40900000000000003</v>
      </c>
      <c r="E19">
        <f>E16/3</f>
        <v>0.41399999999999998</v>
      </c>
    </row>
    <row r="20" spans="1:6" x14ac:dyDescent="0.25">
      <c r="A20" t="s">
        <v>25</v>
      </c>
      <c r="B20">
        <f>B17/3</f>
        <v>0.40700000000000003</v>
      </c>
      <c r="C20">
        <f t="shared" ref="C20:E20" si="1">C17/3</f>
        <v>0.41633333333333339</v>
      </c>
      <c r="D20">
        <f t="shared" si="1"/>
        <v>0.41733333333333333</v>
      </c>
      <c r="E20">
        <f t="shared" si="1"/>
        <v>0.42</v>
      </c>
    </row>
    <row r="21" spans="1:6" x14ac:dyDescent="0.25">
      <c r="A21" t="s">
        <v>26</v>
      </c>
      <c r="B21">
        <f t="shared" ref="B21" si="2">B18/3</f>
        <v>0.40966666666666668</v>
      </c>
      <c r="C21">
        <f t="shared" ref="C21:E21" si="3">C18/3</f>
        <v>0.39433333333333337</v>
      </c>
      <c r="D21">
        <f t="shared" si="3"/>
        <v>0.40899999999999997</v>
      </c>
      <c r="E21">
        <f t="shared" si="3"/>
        <v>0.40133333333333338</v>
      </c>
    </row>
    <row r="23" spans="1:6" x14ac:dyDescent="0.25">
      <c r="A23" s="6" t="s">
        <v>27</v>
      </c>
      <c r="B23" s="6"/>
      <c r="C23" s="6"/>
      <c r="D23" s="6"/>
      <c r="E23" s="6"/>
      <c r="F23" s="6"/>
    </row>
  </sheetData>
  <mergeCells count="1">
    <mergeCell ref="A23:F23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609CC-FBC0-4244-A32D-D41E45D2F016}">
  <dimension ref="A1:D6"/>
  <sheetViews>
    <sheetView workbookViewId="0">
      <selection sqref="A1:D6"/>
    </sheetView>
  </sheetViews>
  <sheetFormatPr defaultRowHeight="13.8" x14ac:dyDescent="0.25"/>
  <cols>
    <col min="2" max="3" width="13.77734375" customWidth="1"/>
    <col min="4" max="4" width="18.44140625" customWidth="1"/>
  </cols>
  <sheetData>
    <row r="1" spans="1:4" x14ac:dyDescent="0.25">
      <c r="B1" t="s">
        <v>18</v>
      </c>
      <c r="C1" t="s">
        <v>20</v>
      </c>
      <c r="D1" t="s">
        <v>19</v>
      </c>
    </row>
    <row r="2" spans="1:4" x14ac:dyDescent="0.25">
      <c r="A2">
        <v>1</v>
      </c>
      <c r="B2">
        <v>1</v>
      </c>
      <c r="C2">
        <f>B2*20/1000/56*20</f>
        <v>7.1428571428571426E-3</v>
      </c>
      <c r="D2">
        <v>9.0999999999999998E-2</v>
      </c>
    </row>
    <row r="3" spans="1:4" x14ac:dyDescent="0.25">
      <c r="A3">
        <v>2</v>
      </c>
      <c r="B3">
        <v>3</v>
      </c>
      <c r="C3">
        <f t="shared" ref="C3:C6" si="0">B3*20/1000/56*20</f>
        <v>2.1428571428571429E-2</v>
      </c>
      <c r="D3">
        <v>0.27200000000000002</v>
      </c>
    </row>
    <row r="4" spans="1:4" x14ac:dyDescent="0.25">
      <c r="A4">
        <v>3</v>
      </c>
      <c r="B4">
        <v>5</v>
      </c>
      <c r="C4">
        <f t="shared" si="0"/>
        <v>3.5714285714285719E-2</v>
      </c>
      <c r="D4">
        <v>0.436</v>
      </c>
    </row>
    <row r="5" spans="1:4" x14ac:dyDescent="0.25">
      <c r="A5">
        <v>4</v>
      </c>
      <c r="B5">
        <v>7</v>
      </c>
      <c r="C5">
        <f t="shared" si="0"/>
        <v>0.05</v>
      </c>
      <c r="D5">
        <v>0.61699999999999999</v>
      </c>
    </row>
    <row r="6" spans="1:4" x14ac:dyDescent="0.25">
      <c r="A6">
        <v>5</v>
      </c>
      <c r="B6">
        <v>9</v>
      </c>
      <c r="C6">
        <f t="shared" si="0"/>
        <v>6.4285714285714279E-2</v>
      </c>
      <c r="D6">
        <v>0.77800000000000002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C6858-302C-417C-ADFA-84A172171139}">
  <dimension ref="A1:E13"/>
  <sheetViews>
    <sheetView workbookViewId="0">
      <selection activeCell="A10" sqref="A10:E13"/>
    </sheetView>
  </sheetViews>
  <sheetFormatPr defaultRowHeight="13.8" x14ac:dyDescent="0.25"/>
  <cols>
    <col min="2" max="2" width="14.88671875" style="3" customWidth="1"/>
    <col min="3" max="3" width="24.33203125" style="4" customWidth="1"/>
    <col min="4" max="4" width="24.5546875" style="4" customWidth="1"/>
    <col min="5" max="5" width="22.6640625" style="3" customWidth="1"/>
  </cols>
  <sheetData>
    <row r="1" spans="1:5" x14ac:dyDescent="0.25">
      <c r="A1" s="6" t="s">
        <v>42</v>
      </c>
      <c r="B1" s="6"/>
      <c r="C1" s="6"/>
      <c r="D1" s="6"/>
      <c r="E1" s="6"/>
    </row>
    <row r="2" spans="1:5" x14ac:dyDescent="0.25">
      <c r="A2" s="6" t="s">
        <v>43</v>
      </c>
      <c r="B2" s="6"/>
      <c r="C2" s="6"/>
      <c r="D2" s="6"/>
      <c r="E2" s="6"/>
    </row>
    <row r="3" spans="1:5" ht="14.4" customHeight="1" x14ac:dyDescent="0.25">
      <c r="A3" t="s">
        <v>33</v>
      </c>
      <c r="B3" s="2" t="s">
        <v>44</v>
      </c>
      <c r="C3" s="4" t="s">
        <v>45</v>
      </c>
      <c r="D3" s="5" t="s">
        <v>46</v>
      </c>
      <c r="E3" s="3" t="s">
        <v>50</v>
      </c>
    </row>
    <row r="4" spans="1:5" x14ac:dyDescent="0.25">
      <c r="A4">
        <v>1</v>
      </c>
      <c r="B4" s="2">
        <v>25.48</v>
      </c>
      <c r="C4" s="4">
        <v>5.1700000000000003E-2</v>
      </c>
      <c r="D4" s="7">
        <v>5.0999999999999997E-2</v>
      </c>
      <c r="E4" s="8" t="s">
        <v>52</v>
      </c>
    </row>
    <row r="5" spans="1:5" x14ac:dyDescent="0.25">
      <c r="A5">
        <v>2</v>
      </c>
      <c r="B5" s="2">
        <v>24.9</v>
      </c>
      <c r="C5" s="4">
        <v>5.0520000000000002E-2</v>
      </c>
      <c r="D5" s="7"/>
      <c r="E5" s="8"/>
    </row>
    <row r="6" spans="1:5" x14ac:dyDescent="0.25">
      <c r="A6">
        <v>3</v>
      </c>
      <c r="B6" s="3">
        <v>25.03</v>
      </c>
      <c r="C6" s="4">
        <v>5.0779999999999999E-2</v>
      </c>
      <c r="D6" s="7"/>
      <c r="E6" s="8"/>
    </row>
    <row r="8" spans="1:5" x14ac:dyDescent="0.25">
      <c r="A8" s="6" t="s">
        <v>47</v>
      </c>
      <c r="B8" s="6"/>
      <c r="C8" s="6"/>
      <c r="D8" s="6"/>
    </row>
    <row r="9" spans="1:5" x14ac:dyDescent="0.25">
      <c r="A9" s="6" t="s">
        <v>48</v>
      </c>
      <c r="B9" s="6"/>
      <c r="C9" s="6"/>
      <c r="D9" s="6"/>
    </row>
    <row r="10" spans="1:5" x14ac:dyDescent="0.25">
      <c r="A10" t="s">
        <v>33</v>
      </c>
      <c r="B10" s="3" t="s">
        <v>44</v>
      </c>
      <c r="C10" s="4" t="s">
        <v>49</v>
      </c>
      <c r="D10" s="4" t="s">
        <v>51</v>
      </c>
      <c r="E10" s="3" t="s">
        <v>50</v>
      </c>
    </row>
    <row r="11" spans="1:5" x14ac:dyDescent="0.25">
      <c r="A11">
        <v>1</v>
      </c>
      <c r="B11" s="3">
        <v>26.71</v>
      </c>
      <c r="C11" s="4">
        <v>5.4489999999999997E-2</v>
      </c>
      <c r="D11" s="7">
        <v>5.4480000000000001E-2</v>
      </c>
      <c r="E11" s="8"/>
    </row>
    <row r="12" spans="1:5" x14ac:dyDescent="0.25">
      <c r="A12">
        <v>2</v>
      </c>
      <c r="B12" s="3">
        <v>26.72</v>
      </c>
      <c r="C12" s="4">
        <v>5.4510000000000003E-2</v>
      </c>
      <c r="D12" s="7"/>
      <c r="E12" s="8"/>
    </row>
    <row r="13" spans="1:5" x14ac:dyDescent="0.25">
      <c r="A13">
        <v>3</v>
      </c>
      <c r="B13" s="3">
        <v>26.69</v>
      </c>
      <c r="C13" s="4">
        <v>5.4449999999999998E-2</v>
      </c>
      <c r="D13" s="7"/>
      <c r="E13" s="8"/>
    </row>
  </sheetData>
  <mergeCells count="8">
    <mergeCell ref="D11:D13"/>
    <mergeCell ref="E4:E6"/>
    <mergeCell ref="E11:E13"/>
    <mergeCell ref="A1:E1"/>
    <mergeCell ref="A2:E2"/>
    <mergeCell ref="D4:D6"/>
    <mergeCell ref="A9:D9"/>
    <mergeCell ref="A8:D8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3CCC8-2EC1-4B36-B775-D11172CDD2ED}">
  <dimension ref="A2:E10"/>
  <sheetViews>
    <sheetView workbookViewId="0">
      <selection activeCell="A2" sqref="A2:E10"/>
    </sheetView>
  </sheetViews>
  <sheetFormatPr defaultRowHeight="13.8" x14ac:dyDescent="0.25"/>
  <cols>
    <col min="1" max="1" width="13.44140625" customWidth="1"/>
    <col min="2" max="2" width="24.6640625" customWidth="1"/>
    <col min="3" max="3" width="25.33203125" customWidth="1"/>
    <col min="4" max="4" width="30.77734375" customWidth="1"/>
  </cols>
  <sheetData>
    <row r="2" spans="1:5" x14ac:dyDescent="0.25">
      <c r="A2" t="s">
        <v>33</v>
      </c>
      <c r="B2" s="2" t="s">
        <v>56</v>
      </c>
      <c r="C2" s="4" t="s">
        <v>53</v>
      </c>
      <c r="D2" s="5" t="s">
        <v>54</v>
      </c>
      <c r="E2" s="3" t="s">
        <v>50</v>
      </c>
    </row>
    <row r="3" spans="1:5" x14ac:dyDescent="0.25">
      <c r="A3">
        <v>1</v>
      </c>
      <c r="B3" s="2">
        <v>17.66</v>
      </c>
      <c r="C3" s="4">
        <v>4.2380000000000001E-2</v>
      </c>
      <c r="D3" s="7">
        <v>4.2299999999999997E-2</v>
      </c>
      <c r="E3" s="8">
        <v>1E-3</v>
      </c>
    </row>
    <row r="4" spans="1:5" x14ac:dyDescent="0.25">
      <c r="A4">
        <v>2</v>
      </c>
      <c r="B4" s="2">
        <v>17.62</v>
      </c>
      <c r="C4" s="4">
        <v>4.2290000000000001E-2</v>
      </c>
      <c r="D4" s="7"/>
      <c r="E4" s="8"/>
    </row>
    <row r="5" spans="1:5" x14ac:dyDescent="0.25">
      <c r="A5">
        <v>3</v>
      </c>
      <c r="B5" s="3">
        <v>17.600000000000001</v>
      </c>
      <c r="C5" s="4">
        <v>4.224E-2</v>
      </c>
      <c r="D5" s="7"/>
      <c r="E5" s="8"/>
    </row>
    <row r="7" spans="1:5" x14ac:dyDescent="0.25">
      <c r="B7" s="3" t="s">
        <v>55</v>
      </c>
      <c r="C7" s="4" t="s">
        <v>49</v>
      </c>
      <c r="D7" s="4" t="s">
        <v>51</v>
      </c>
      <c r="E7" s="3" t="s">
        <v>50</v>
      </c>
    </row>
    <row r="8" spans="1:5" x14ac:dyDescent="0.25">
      <c r="A8">
        <v>1</v>
      </c>
      <c r="B8" s="3">
        <v>44.21</v>
      </c>
      <c r="C8" s="4">
        <v>6.3719999999999999E-2</v>
      </c>
      <c r="D8" s="7">
        <v>6.3979999999999995E-2</v>
      </c>
      <c r="E8" s="8">
        <v>8.0000000000000002E-3</v>
      </c>
    </row>
    <row r="9" spans="1:5" x14ac:dyDescent="0.25">
      <c r="A9">
        <v>2</v>
      </c>
      <c r="B9" s="3">
        <v>44.32</v>
      </c>
      <c r="C9" s="4">
        <v>6.4079999999999998E-2</v>
      </c>
      <c r="D9" s="7"/>
      <c r="E9" s="8"/>
    </row>
    <row r="10" spans="1:5" x14ac:dyDescent="0.25">
      <c r="A10">
        <v>3</v>
      </c>
      <c r="B10" s="3">
        <v>44.32</v>
      </c>
      <c r="C10" s="4">
        <v>6.4130000000000006E-2</v>
      </c>
      <c r="D10" s="7"/>
      <c r="E10" s="8"/>
    </row>
  </sheetData>
  <mergeCells count="4">
    <mergeCell ref="D3:D5"/>
    <mergeCell ref="E3:E5"/>
    <mergeCell ref="D8:D10"/>
    <mergeCell ref="E8:E1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分光光度法最大吸收波长</vt:lpstr>
      <vt:lpstr>分光光度法最合适实验条件选择</vt:lpstr>
      <vt:lpstr>分光光度法标准曲线绘制</vt:lpstr>
      <vt:lpstr>络合滴定实验数据</vt:lpstr>
      <vt:lpstr>氧化还原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Weilin Zou</dc:creator>
  <cp:lastModifiedBy>18434</cp:lastModifiedBy>
  <dcterms:created xsi:type="dcterms:W3CDTF">2015-06-05T18:19:34Z</dcterms:created>
  <dcterms:modified xsi:type="dcterms:W3CDTF">2020-12-15T05:54:38Z</dcterms:modified>
</cp:coreProperties>
</file>