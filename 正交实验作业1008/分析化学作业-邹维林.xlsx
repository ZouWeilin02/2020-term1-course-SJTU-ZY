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18434\Desktop\sjtu\作业\分析化学\"/>
    </mc:Choice>
  </mc:AlternateContent>
  <xr:revisionPtr revIDLastSave="0" documentId="13_ncr:1_{CD0BBFAA-82E5-47B5-A38C-FC230E5B1D93}" xr6:coauthVersionLast="45" xr6:coauthVersionMax="45" xr10:uidLastSave="{00000000-0000-0000-0000-000000000000}"/>
  <bookViews>
    <workbookView xWindow="10008" yWindow="408" windowWidth="12972" windowHeight="8964" firstSheet="1" activeTab="1" xr2:uid="{00000000-000D-0000-FFFF-FFFF00000000}"/>
  </bookViews>
  <sheets>
    <sheet name="交互作用" sheetId="1" state="hidden" r:id="rId1"/>
    <sheet name="实验安排表" sheetId="2" r:id="rId2"/>
    <sheet name="分析" sheetId="3" state="hidden" r:id="rId3"/>
    <sheet name="Sheet4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E15" i="2"/>
  <c r="C15" i="2"/>
  <c r="B15" i="2"/>
  <c r="G14" i="2"/>
  <c r="G13" i="2"/>
  <c r="E14" i="2"/>
  <c r="E13" i="2"/>
  <c r="C14" i="2"/>
  <c r="C13" i="2"/>
  <c r="B14" i="2"/>
  <c r="G12" i="2"/>
  <c r="G11" i="2"/>
  <c r="E12" i="2"/>
  <c r="E11" i="2"/>
  <c r="C12" i="2"/>
  <c r="C11" i="2"/>
  <c r="B12" i="2"/>
  <c r="B11" i="2"/>
</calcChain>
</file>

<file path=xl/sharedStrings.xml><?xml version="1.0" encoding="utf-8"?>
<sst xmlns="http://schemas.openxmlformats.org/spreadsheetml/2006/main" count="49" uniqueCount="18">
  <si>
    <t>列号</t>
    <phoneticPr fontId="1" type="noConversion"/>
  </si>
  <si>
    <t>A*B</t>
    <phoneticPr fontId="1" type="noConversion"/>
  </si>
  <si>
    <t>A*C</t>
    <phoneticPr fontId="1" type="noConversion"/>
  </si>
  <si>
    <t>温度（A）/℃</t>
    <phoneticPr fontId="1" type="noConversion"/>
  </si>
  <si>
    <t>时间（B）/h</t>
    <phoneticPr fontId="1" type="noConversion"/>
  </si>
  <si>
    <t>原料配比（C）</t>
    <phoneticPr fontId="1" type="noConversion"/>
  </si>
  <si>
    <r>
      <t>流速（D）/g</t>
    </r>
    <r>
      <rPr>
        <sz val="11"/>
        <color theme="1"/>
        <rFont val="Wingdings"/>
        <family val="2"/>
        <charset val="2"/>
      </rPr>
      <t></t>
    </r>
    <r>
      <rPr>
        <sz val="11"/>
        <color theme="1"/>
        <rFont val="等线"/>
        <family val="2"/>
        <scheme val="minor"/>
      </rPr>
      <t>min-¹</t>
    </r>
    <phoneticPr fontId="1" type="noConversion"/>
  </si>
  <si>
    <t>1:1</t>
    <phoneticPr fontId="1" type="noConversion"/>
  </si>
  <si>
    <t>1:2</t>
    <phoneticPr fontId="1" type="noConversion"/>
  </si>
  <si>
    <t>评价结果</t>
    <phoneticPr fontId="1" type="noConversion"/>
  </si>
  <si>
    <t>空列</t>
    <phoneticPr fontId="1" type="noConversion"/>
  </si>
  <si>
    <t>T1</t>
    <phoneticPr fontId="1" type="noConversion"/>
  </si>
  <si>
    <t>T2</t>
    <phoneticPr fontId="1" type="noConversion"/>
  </si>
  <si>
    <t>K1</t>
    <phoneticPr fontId="1" type="noConversion"/>
  </si>
  <si>
    <t>K2</t>
    <phoneticPr fontId="1" type="noConversion"/>
  </si>
  <si>
    <t>R</t>
    <phoneticPr fontId="1" type="noConversion"/>
  </si>
  <si>
    <t>极差分析：C&lt;A&lt;B&lt;D</t>
    <phoneticPr fontId="1" type="noConversion"/>
  </si>
  <si>
    <t>方差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</si>
</sst>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Wingdings"/>
      <family val="2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1:H34"/>
  <sheetViews>
    <sheetView workbookViewId="0">
      <selection activeCell="B20" sqref="B20:H35"/>
    </sheetView>
  </sheetViews>
  <sheetFormatPr defaultRowHeight="13.8" x14ac:dyDescent="0.25"/>
  <cols>
    <col min="2" max="2" width="14" customWidth="1"/>
    <col min="6" max="6" width="14.33203125" customWidth="1"/>
  </cols>
  <sheetData>
    <row r="21" spans="2:8" x14ac:dyDescent="0.25">
      <c r="B21" t="s">
        <v>0</v>
      </c>
      <c r="C21" t="s">
        <v>3</v>
      </c>
      <c r="D21" t="s">
        <v>4</v>
      </c>
      <c r="E21" t="s">
        <v>1</v>
      </c>
      <c r="G21" t="s">
        <v>5</v>
      </c>
      <c r="H21" t="s">
        <v>2</v>
      </c>
    </row>
    <row r="22" spans="2:8" x14ac:dyDescent="0.25">
      <c r="B22">
        <v>1</v>
      </c>
      <c r="C22">
        <v>500</v>
      </c>
      <c r="D22">
        <v>2</v>
      </c>
      <c r="E22">
        <v>1</v>
      </c>
    </row>
    <row r="23" spans="2:8" x14ac:dyDescent="0.25">
      <c r="B23">
        <v>2</v>
      </c>
      <c r="C23">
        <v>500</v>
      </c>
      <c r="D23">
        <v>2</v>
      </c>
      <c r="E23">
        <v>1</v>
      </c>
    </row>
    <row r="24" spans="2:8" x14ac:dyDescent="0.25">
      <c r="B24">
        <v>3</v>
      </c>
      <c r="C24">
        <v>500</v>
      </c>
      <c r="D24">
        <v>4</v>
      </c>
      <c r="E24">
        <v>2</v>
      </c>
    </row>
    <row r="25" spans="2:8" x14ac:dyDescent="0.25">
      <c r="B25">
        <v>4</v>
      </c>
      <c r="C25">
        <v>500</v>
      </c>
      <c r="D25">
        <v>4</v>
      </c>
      <c r="E25">
        <v>2</v>
      </c>
    </row>
    <row r="26" spans="2:8" ht="15.6" customHeight="1" x14ac:dyDescent="0.25">
      <c r="B26">
        <v>5</v>
      </c>
      <c r="C26">
        <v>700</v>
      </c>
      <c r="D26">
        <v>2</v>
      </c>
      <c r="E26">
        <v>2</v>
      </c>
    </row>
    <row r="27" spans="2:8" x14ac:dyDescent="0.25">
      <c r="B27">
        <v>6</v>
      </c>
      <c r="C27">
        <v>700</v>
      </c>
      <c r="D27">
        <v>2</v>
      </c>
      <c r="E27">
        <v>2</v>
      </c>
    </row>
    <row r="28" spans="2:8" x14ac:dyDescent="0.25">
      <c r="B28">
        <v>7</v>
      </c>
      <c r="C28">
        <v>700</v>
      </c>
      <c r="D28">
        <v>4</v>
      </c>
      <c r="E28">
        <v>1</v>
      </c>
    </row>
    <row r="29" spans="2:8" x14ac:dyDescent="0.25">
      <c r="B29">
        <v>8</v>
      </c>
      <c r="C29">
        <v>700</v>
      </c>
      <c r="D29">
        <v>4</v>
      </c>
      <c r="E29">
        <v>1</v>
      </c>
    </row>
    <row r="30" spans="2:8" x14ac:dyDescent="0.25">
      <c r="B30" t="s">
        <v>11</v>
      </c>
    </row>
    <row r="31" spans="2:8" x14ac:dyDescent="0.25">
      <c r="B31" t="s">
        <v>12</v>
      </c>
    </row>
    <row r="32" spans="2:8" x14ac:dyDescent="0.25">
      <c r="B32" t="s">
        <v>13</v>
      </c>
    </row>
    <row r="33" spans="2:2" x14ac:dyDescent="0.25">
      <c r="B33" t="s">
        <v>14</v>
      </c>
    </row>
    <row r="34" spans="2:2" x14ac:dyDescent="0.25">
      <c r="B3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B97B-BE34-47E0-AA8E-F720E1303F59}">
  <dimension ref="A2:I19"/>
  <sheetViews>
    <sheetView tabSelected="1" workbookViewId="0">
      <selection activeCell="B16" sqref="B16"/>
    </sheetView>
  </sheetViews>
  <sheetFormatPr defaultRowHeight="13.8" x14ac:dyDescent="0.25"/>
  <cols>
    <col min="2" max="2" width="14" customWidth="1"/>
    <col min="3" max="3" width="12.21875" customWidth="1"/>
    <col min="5" max="5" width="13.77734375" customWidth="1"/>
    <col min="7" max="7" width="18.5546875" customWidth="1"/>
  </cols>
  <sheetData>
    <row r="2" spans="1:9" x14ac:dyDescent="0.25">
      <c r="A2" t="s">
        <v>0</v>
      </c>
      <c r="B2" t="s">
        <v>3</v>
      </c>
      <c r="C2" t="s">
        <v>4</v>
      </c>
      <c r="D2" t="s">
        <v>1</v>
      </c>
      <c r="E2" t="s">
        <v>5</v>
      </c>
      <c r="F2" t="s">
        <v>2</v>
      </c>
      <c r="G2" t="s">
        <v>6</v>
      </c>
      <c r="H2" t="s">
        <v>10</v>
      </c>
      <c r="I2" t="s">
        <v>9</v>
      </c>
    </row>
    <row r="3" spans="1:9" x14ac:dyDescent="0.25">
      <c r="A3">
        <v>1</v>
      </c>
      <c r="B3">
        <v>500</v>
      </c>
      <c r="C3">
        <v>2</v>
      </c>
      <c r="D3">
        <v>1</v>
      </c>
      <c r="E3" s="1" t="s">
        <v>7</v>
      </c>
      <c r="F3">
        <v>1</v>
      </c>
      <c r="G3">
        <v>5</v>
      </c>
      <c r="H3">
        <v>1</v>
      </c>
      <c r="I3">
        <v>7.3</v>
      </c>
    </row>
    <row r="4" spans="1:9" x14ac:dyDescent="0.25">
      <c r="A4">
        <v>2</v>
      </c>
      <c r="B4">
        <v>500</v>
      </c>
      <c r="C4">
        <v>2</v>
      </c>
      <c r="D4">
        <v>1</v>
      </c>
      <c r="E4" s="1" t="s">
        <v>8</v>
      </c>
      <c r="F4">
        <v>2</v>
      </c>
      <c r="G4">
        <v>10</v>
      </c>
      <c r="H4">
        <v>2</v>
      </c>
      <c r="I4">
        <v>8.5</v>
      </c>
    </row>
    <row r="5" spans="1:9" x14ac:dyDescent="0.25">
      <c r="A5">
        <v>3</v>
      </c>
      <c r="B5">
        <v>500</v>
      </c>
      <c r="C5">
        <v>4</v>
      </c>
      <c r="D5">
        <v>2</v>
      </c>
      <c r="E5" s="1" t="s">
        <v>7</v>
      </c>
      <c r="F5">
        <v>1</v>
      </c>
      <c r="G5">
        <v>10</v>
      </c>
      <c r="H5">
        <v>2</v>
      </c>
      <c r="I5">
        <v>7.2</v>
      </c>
    </row>
    <row r="6" spans="1:9" x14ac:dyDescent="0.25">
      <c r="A6">
        <v>4</v>
      </c>
      <c r="B6">
        <v>500</v>
      </c>
      <c r="C6">
        <v>4</v>
      </c>
      <c r="D6">
        <v>2</v>
      </c>
      <c r="E6" s="1" t="s">
        <v>8</v>
      </c>
      <c r="F6">
        <v>2</v>
      </c>
      <c r="G6">
        <v>5</v>
      </c>
      <c r="H6">
        <v>1</v>
      </c>
      <c r="I6">
        <v>7.8</v>
      </c>
    </row>
    <row r="7" spans="1:9" x14ac:dyDescent="0.25">
      <c r="A7">
        <v>5</v>
      </c>
      <c r="B7">
        <v>700</v>
      </c>
      <c r="C7">
        <v>2</v>
      </c>
      <c r="D7">
        <v>2</v>
      </c>
      <c r="E7" s="1" t="s">
        <v>7</v>
      </c>
      <c r="F7">
        <v>2</v>
      </c>
      <c r="G7">
        <v>5</v>
      </c>
      <c r="H7">
        <v>2</v>
      </c>
      <c r="I7">
        <v>7.6</v>
      </c>
    </row>
    <row r="8" spans="1:9" x14ac:dyDescent="0.25">
      <c r="A8">
        <v>6</v>
      </c>
      <c r="B8">
        <v>700</v>
      </c>
      <c r="C8">
        <v>2</v>
      </c>
      <c r="D8">
        <v>2</v>
      </c>
      <c r="E8" s="1" t="s">
        <v>8</v>
      </c>
      <c r="F8">
        <v>1</v>
      </c>
      <c r="G8">
        <v>10</v>
      </c>
      <c r="H8">
        <v>1</v>
      </c>
      <c r="I8">
        <v>8</v>
      </c>
    </row>
    <row r="9" spans="1:9" x14ac:dyDescent="0.25">
      <c r="A9">
        <v>7</v>
      </c>
      <c r="B9">
        <v>700</v>
      </c>
      <c r="C9">
        <v>4</v>
      </c>
      <c r="D9">
        <v>1</v>
      </c>
      <c r="E9" s="1" t="s">
        <v>7</v>
      </c>
      <c r="F9">
        <v>2</v>
      </c>
      <c r="G9">
        <v>10</v>
      </c>
      <c r="H9">
        <v>1</v>
      </c>
      <c r="I9">
        <v>8.5</v>
      </c>
    </row>
    <row r="10" spans="1:9" x14ac:dyDescent="0.25">
      <c r="A10">
        <v>8</v>
      </c>
      <c r="B10">
        <v>700</v>
      </c>
      <c r="C10">
        <v>4</v>
      </c>
      <c r="D10">
        <v>1</v>
      </c>
      <c r="E10" s="1" t="s">
        <v>8</v>
      </c>
      <c r="F10">
        <v>1</v>
      </c>
      <c r="G10">
        <v>5</v>
      </c>
      <c r="H10">
        <v>2</v>
      </c>
      <c r="I10">
        <v>8.9</v>
      </c>
    </row>
    <row r="11" spans="1:9" x14ac:dyDescent="0.25">
      <c r="A11" t="s">
        <v>11</v>
      </c>
      <c r="B11">
        <f>SUM(I3:I6)</f>
        <v>30.8</v>
      </c>
      <c r="C11">
        <f>SUM(I3:I4,I7:I8)</f>
        <v>31.4</v>
      </c>
      <c r="E11">
        <f>SUM(I3,I5,I7,I9)</f>
        <v>30.6</v>
      </c>
      <c r="G11">
        <f>SUM(I3,I6,I7,I10)</f>
        <v>31.6</v>
      </c>
    </row>
    <row r="12" spans="1:9" x14ac:dyDescent="0.25">
      <c r="A12" t="s">
        <v>12</v>
      </c>
      <c r="B12">
        <f>SUM(I7:I10)</f>
        <v>33</v>
      </c>
      <c r="C12">
        <f>SUM(I5:I6,I9:I10)</f>
        <v>32.4</v>
      </c>
      <c r="E12">
        <f>SUM(I4,I6,I8,I10)</f>
        <v>33.200000000000003</v>
      </c>
      <c r="G12">
        <f>SUM(I4,I5,I8,I9)</f>
        <v>32.200000000000003</v>
      </c>
    </row>
    <row r="13" spans="1:9" x14ac:dyDescent="0.25">
      <c r="A13" t="s">
        <v>13</v>
      </c>
      <c r="B13">
        <v>7.7</v>
      </c>
      <c r="C13">
        <f>C11/4</f>
        <v>7.85</v>
      </c>
      <c r="E13">
        <f>E11/4</f>
        <v>7.65</v>
      </c>
      <c r="G13">
        <f>G11/4</f>
        <v>7.9</v>
      </c>
    </row>
    <row r="14" spans="1:9" x14ac:dyDescent="0.25">
      <c r="A14" t="s">
        <v>14</v>
      </c>
      <c r="B14">
        <f>B12/4</f>
        <v>8.25</v>
      </c>
      <c r="C14">
        <f>C12/4</f>
        <v>8.1</v>
      </c>
      <c r="E14">
        <f>E12/4</f>
        <v>8.3000000000000007</v>
      </c>
      <c r="G14">
        <f>G12/4</f>
        <v>8.0500000000000007</v>
      </c>
    </row>
    <row r="15" spans="1:9" x14ac:dyDescent="0.25">
      <c r="A15" t="s">
        <v>15</v>
      </c>
      <c r="B15">
        <f>B14-B13</f>
        <v>0.54999999999999982</v>
      </c>
      <c r="C15">
        <f>C14-C13</f>
        <v>0.25</v>
      </c>
      <c r="E15">
        <f>E14-E13</f>
        <v>0.65000000000000036</v>
      </c>
      <c r="G15">
        <f>G14-G13</f>
        <v>0.15000000000000036</v>
      </c>
    </row>
    <row r="16" spans="1:9" x14ac:dyDescent="0.25">
      <c r="A16" t="s">
        <v>17</v>
      </c>
    </row>
    <row r="18" spans="2:9" x14ac:dyDescent="0.25">
      <c r="B18" s="2" t="s">
        <v>16</v>
      </c>
      <c r="C18" s="2"/>
      <c r="D18" s="2"/>
      <c r="E18" s="2"/>
      <c r="F18" s="2"/>
      <c r="G18" s="2"/>
      <c r="H18" s="2"/>
      <c r="I18" s="2"/>
    </row>
    <row r="19" spans="2:9" x14ac:dyDescent="0.25">
      <c r="B19" s="2"/>
      <c r="C19" s="2"/>
      <c r="D19" s="2"/>
      <c r="E19" s="2"/>
      <c r="F19" s="2"/>
      <c r="G19" s="2"/>
      <c r="H19" s="2"/>
      <c r="I19" s="2"/>
    </row>
  </sheetData>
  <mergeCells count="2">
    <mergeCell ref="B18:I18"/>
    <mergeCell ref="B19:I1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D0A5-1517-4C15-A11F-BBBD8573AF55}">
  <dimension ref="A2:F10"/>
  <sheetViews>
    <sheetView workbookViewId="0">
      <selection activeCell="G2" sqref="G2"/>
    </sheetView>
  </sheetViews>
  <sheetFormatPr defaultRowHeight="13.8" x14ac:dyDescent="0.25"/>
  <cols>
    <col min="5" max="5" width="16.6640625" customWidth="1"/>
  </cols>
  <sheetData>
    <row r="2" spans="1:6" x14ac:dyDescent="0.25">
      <c r="A2" t="s">
        <v>0</v>
      </c>
      <c r="B2" t="s">
        <v>3</v>
      </c>
      <c r="C2" t="s">
        <v>4</v>
      </c>
      <c r="D2" t="s">
        <v>1</v>
      </c>
      <c r="E2" t="s">
        <v>5</v>
      </c>
      <c r="F2" t="s">
        <v>2</v>
      </c>
    </row>
    <row r="3" spans="1:6" x14ac:dyDescent="0.25">
      <c r="A3">
        <v>1</v>
      </c>
      <c r="B3">
        <v>500</v>
      </c>
      <c r="C3">
        <v>2</v>
      </c>
      <c r="D3">
        <v>1</v>
      </c>
      <c r="E3" s="1" t="s">
        <v>7</v>
      </c>
      <c r="F3">
        <v>1</v>
      </c>
    </row>
    <row r="4" spans="1:6" x14ac:dyDescent="0.25">
      <c r="A4">
        <v>2</v>
      </c>
      <c r="B4">
        <v>500</v>
      </c>
      <c r="C4">
        <v>2</v>
      </c>
      <c r="D4">
        <v>1</v>
      </c>
      <c r="E4" s="1" t="s">
        <v>8</v>
      </c>
      <c r="F4">
        <v>2</v>
      </c>
    </row>
    <row r="5" spans="1:6" x14ac:dyDescent="0.25">
      <c r="A5">
        <v>3</v>
      </c>
      <c r="B5">
        <v>500</v>
      </c>
      <c r="C5">
        <v>4</v>
      </c>
      <c r="D5">
        <v>2</v>
      </c>
      <c r="E5" s="1" t="s">
        <v>7</v>
      </c>
      <c r="F5">
        <v>1</v>
      </c>
    </row>
    <row r="6" spans="1:6" x14ac:dyDescent="0.25">
      <c r="A6">
        <v>4</v>
      </c>
      <c r="B6">
        <v>500</v>
      </c>
      <c r="C6">
        <v>4</v>
      </c>
      <c r="D6">
        <v>2</v>
      </c>
      <c r="E6" s="1" t="s">
        <v>8</v>
      </c>
      <c r="F6">
        <v>2</v>
      </c>
    </row>
    <row r="7" spans="1:6" x14ac:dyDescent="0.25">
      <c r="A7">
        <v>5</v>
      </c>
      <c r="B7">
        <v>700</v>
      </c>
      <c r="C7">
        <v>2</v>
      </c>
      <c r="D7">
        <v>2</v>
      </c>
      <c r="E7" s="1" t="s">
        <v>7</v>
      </c>
      <c r="F7">
        <v>2</v>
      </c>
    </row>
    <row r="8" spans="1:6" x14ac:dyDescent="0.25">
      <c r="A8">
        <v>6</v>
      </c>
      <c r="B8">
        <v>700</v>
      </c>
      <c r="C8">
        <v>2</v>
      </c>
      <c r="D8">
        <v>2</v>
      </c>
      <c r="E8" s="1" t="s">
        <v>8</v>
      </c>
      <c r="F8">
        <v>1</v>
      </c>
    </row>
    <row r="9" spans="1:6" x14ac:dyDescent="0.25">
      <c r="A9">
        <v>7</v>
      </c>
      <c r="B9">
        <v>700</v>
      </c>
      <c r="C9">
        <v>4</v>
      </c>
      <c r="D9">
        <v>1</v>
      </c>
      <c r="E9" s="1" t="s">
        <v>7</v>
      </c>
      <c r="F9">
        <v>2</v>
      </c>
    </row>
    <row r="10" spans="1:6" x14ac:dyDescent="0.25">
      <c r="A10">
        <v>8</v>
      </c>
      <c r="B10">
        <v>700</v>
      </c>
      <c r="C10">
        <v>4</v>
      </c>
      <c r="D10">
        <v>1</v>
      </c>
      <c r="E10" s="1" t="s">
        <v>8</v>
      </c>
      <c r="F10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33F32-4615-4D8C-994D-B605CAA36798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交互作用</vt:lpstr>
      <vt:lpstr>实验安排表</vt:lpstr>
      <vt:lpstr>分析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邹维林</dc:creator>
  <cp:lastModifiedBy>18434</cp:lastModifiedBy>
  <dcterms:created xsi:type="dcterms:W3CDTF">2015-06-05T18:19:34Z</dcterms:created>
  <dcterms:modified xsi:type="dcterms:W3CDTF">2020-10-12T08:56:28Z</dcterms:modified>
</cp:coreProperties>
</file>